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mc:AlternateContent xmlns:mc="http://schemas.openxmlformats.org/markup-compatibility/2006">
    <mc:Choice Requires="x15">
      <x15ac:absPath xmlns:x15ac="http://schemas.microsoft.com/office/spreadsheetml/2010/11/ac" url="C:\Users\Jeferson\Desktop\"/>
    </mc:Choice>
  </mc:AlternateContent>
  <bookViews>
    <workbookView xWindow="0" yWindow="0" windowWidth="20490" windowHeight="7755" activeTab="1"/>
  </bookViews>
  <sheets>
    <sheet name="Planilha1" sheetId="1" r:id="rId1"/>
    <sheet name="Hey" sheetId="2" r:id="rId2"/>
  </sheets>
  <definedNames>
    <definedName name="_xlnm.Print_Area" localSheetId="1">Hey!$C$4:$U$29</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 i="2" l="1"/>
  <c r="D15" i="2" l="1"/>
  <c r="G11" i="2"/>
</calcChain>
</file>

<file path=xl/sharedStrings.xml><?xml version="1.0" encoding="utf-8"?>
<sst xmlns="http://schemas.openxmlformats.org/spreadsheetml/2006/main" count="98" uniqueCount="76">
  <si>
    <t>AÇÃO</t>
  </si>
  <si>
    <t>GENERO</t>
  </si>
  <si>
    <t>SINOPSE</t>
  </si>
  <si>
    <t>SERIE</t>
  </si>
  <si>
    <t>Oito habilidosos ladrões se trancam na Casa da Moeda da Espanha com o ambicioso plano de realizar o maior roubo da história e levar com eles mais de 2 bilhões de euros. Para isso, a gangue precisa lidar com as dezenas de pessoas que manteve como refém, além dos agentes da força de elite da polícia, que farão de tudo para que a investida dos criminosos fracasse.</t>
  </si>
  <si>
    <t>Jessica Jones</t>
  </si>
  <si>
    <t>La Casa de Papel</t>
  </si>
  <si>
    <t>Titãs</t>
  </si>
  <si>
    <t>Desde que sua curta vida como super-heroína acabou de forma trágica, Jessica Jones (Krysten Ritter) vem reconstruindo sua carreira e passou a levar a vida como detetive particular no bairro de Hell's Kitchen, em Nova York, na sua própria agência de investigações, a Alias Investigations. Traumatizada por eventos anteriores de sua vida, ela sofre de Transtorno de Estresse Pós-Traumático, e tenta fazer com que seus super-poderes passem despercebidos pelos seus clientes. Mas, mesmo tentando fugir do passado, seus demônios particulares vão voltar a perseguí-la, na figura de Zebediah Kilgrave (David Tennant), um obsessivo vilão que fará de tudo para chamar a atenção de Jessica.</t>
  </si>
  <si>
    <t>Baseado na equipe Novos Titãs, da DC Comics, a série mostra um grupo de jovens heróis que unem suas forças na luta contra o mal</t>
  </si>
  <si>
    <t>TERROR</t>
  </si>
  <si>
    <t xml:space="preserve">Santa Clarita Diet </t>
  </si>
  <si>
    <t>Sheila e Joel são dois corretores de imóveis que compartilham muito mais do que a mesma profissão. Casados e com uma filha adolescente, eles estão descontentes com a vida que levam em Santa Clarita, no subúrbio de Los Angeles. O destino deles começa a mudar quando Sheila passa por uma mudança radical.</t>
  </si>
  <si>
    <t>Scream</t>
  </si>
  <si>
    <t>Depois de um incidente de cyber-bullying resultar em um assassinato brutal, a violência reacende a memória de uma série de assassinatos que ocorreram no passado em Lakewood, que intrigaram alguns e talvez tenham inspirado um novo serial killer. Um grupo de adolescentes, com dois velhos amigos tentando se reconectarem, se tornam amantes, inimigos, suspeitos, alvos e vítimas de um assassino que está à procura de sangue.</t>
  </si>
  <si>
    <t>Marianne</t>
  </si>
  <si>
    <t>Ao descobrir que suas histórias aterrorizantes estão\se tornando reais, uma escritora retorna à sua cidadennatal para enfrentar os demônios do passado que inspiram seus livros</t>
  </si>
  <si>
    <t>ROMANCE</t>
  </si>
  <si>
    <t>Jane the Virgin</t>
  </si>
  <si>
    <t>Quando Jane (Gina Rodriguez) era mais nova, a avó dela a convenceu de duas coisas: telenovelas são a melhor forma de entretenimento, e mulheres devem proteger a virgindade a qualquer custo. Agora, aos 23 anos, a vida de Jane tornou-se tão dramática e complicada quanto as telenovelas que ela sempre amou, após uma série de surpreendentes eventos que fizeram com que ela fizesse, acidentalmente, uma inseminação artificial.</t>
  </si>
  <si>
    <t>Grey’s Anatomy</t>
  </si>
  <si>
    <t>Os médicos do Grey Sloan Memorial Hospital lidam diariamente com casos e consequências de vida ou morte. É um no outro que eles encontram apoio, conforto, amizade e, às vezes, até mais que amizade... Juntos, eles descobrem o quanto a vida profissional e a pessoal podem ser complicadas e se misturarem no meio do caminho.</t>
  </si>
  <si>
    <t>Eu, Tu e Ela</t>
  </si>
  <si>
    <t>Um casal que se ama, mas com a relação caindo na mesmice acabam envolvendo uma terceira pessoa na relação, tudo toma rumos inesperados quando ambos se apaixonam pela garota</t>
  </si>
  <si>
    <t>FICÇÃO CIENTIFICA</t>
  </si>
  <si>
    <t>Orphan Black</t>
  </si>
  <si>
    <t>Depois de presenciar o suicídio de uma mulher (que é exatamente como ela) em uma estação de trem, Sarah Manning (Tatiana Maslany) faz o que qualquer um faria: assume a identidade da suicida para tentar resolver os próprios problemas financeiros. Mas logo ela descobre que está no centro de um mistério que vai mudar sua vida, quando se vê cara a cara com mais três mulheres idênticas a ela. Todas são clones, e precisam salvar as próprias peles enquanto tentam descobrir quem são os responsáveis pelos experimentos genéticos.</t>
  </si>
  <si>
    <t>Lost</t>
  </si>
  <si>
    <t>Um avião cai em uma ilha deserta e logo um grupo de passageiros precisa lutar para sobreviver. Liderados pelo médico Jack Shephard (Matthew Fox) e pelo misterioso John Locke (Terry O'Quinn), eles irão descobrir que o local esconde perigosos segredos. Com o passar do tempo, são reveladas informações sobre o passado dos sobreviventes, como Hugo 'Hurley' Reyes (Jorge Garcia), Sayid Jarrah (Naveen Andrews), Kate Austen (Evangeline Lilly) e James 'Sawyer' Ford (Josh Holloway).</t>
  </si>
  <si>
    <t>The 100</t>
  </si>
  <si>
    <t>Baseado em livro. 97 anos após uma guerra nuclear devastadora que dizimou quase toda a vida na Terra. Os sobreviventes conhecidos são os moradores de doze estações espaciais em órbita da Terra, que já viviam nesta antes do fim da guerra. As estações espaciais se uniram para formar uma única estação, chamada 'Arca', onde cerca de 2.400 pessoas vivem sob a liderança do Chanceler Jaha. A Arca esta quase sem ar, então decidem mandar 100 pessoas 'descartaveis' para ver se a Terra já é habitavel</t>
  </si>
  <si>
    <t>DOCUMENTÁRIO</t>
  </si>
  <si>
    <t>The Keepers</t>
  </si>
  <si>
    <t>Irmã Cathy Cesnik, uma freira e professora muito querida por todos, desapareceu em novembro de 1969. Seu corpo só fora encontrado dois meses depois, e trouxe à tona diversos segredos envolvendo a Igreja e uma série de crimes que aconteceram na cidade de Baltimore, nos Estados Unidos. As investigações, no entanto, não foram concluídas e o caso continua um mistério.</t>
  </si>
  <si>
    <t>Wild Wild Country</t>
  </si>
  <si>
    <t>Quando um polêmico líder de seita constrói uma cidade utópica no deserto do Oregon, o conflito com os moradores vira um escândalo nacional.</t>
  </si>
  <si>
    <t>Minimalismo</t>
  </si>
  <si>
    <t>Questionando como a vida poderia ser melhor com menos coisas materiais, o documentário entrevista pessoas que não são materialistas. Famílias, empresários, arquitetos, artistas, jornalistas e cientistas refletem sobre o ator de levar uma vida minimalista.</t>
  </si>
  <si>
    <t>SUSPENSE</t>
  </si>
  <si>
    <t>Scandal</t>
  </si>
  <si>
    <t>Olivia Pope (Kerry Washington) passa seu tempo protegendo a reputação das personalidades estadunidenses da elite, evitando que nasçam grandes escândalos. A moça decide abrir uma empresa após deixar seu trabalho na Casa Branca, mas não consegue se desvencilhar totalmente de seu passado profissional. Sua equipe é formada por Harrison Wright (Columbus Short), Quinn Perkins (Katie Lowes), Stephen Finch (Henry Ian Cusick), Abby Whelan (Darby Stanchfield) e o hacker Huck Finn (Guillermo Diaz).</t>
  </si>
  <si>
    <t>Hannibal</t>
  </si>
  <si>
    <t>Will Graham é um investigador do FBI que tem o talento de se inserir nas cenas dos crimes e visualizar exatamente o que aconteceu. Tal capacidade ajuda a solucionar muitos casos, mas também exige muito dele, obrigando-o a consultar o psiquiatra Hannibal Lecter. Mal sabe Graham, que o dr. Lecter não é um psiquiatra comum.</t>
  </si>
  <si>
    <t>Dark</t>
  </si>
  <si>
    <t>Quatro diferentes famílias vivem em uma pequena cidade alemã. Suas vidas pacatas são completamente atormentadas quando duas crianças desaparecem misteriosamente e os segredos obscuros das suas famílias começam a ser desvendados.</t>
  </si>
  <si>
    <t>COMÉDIA</t>
  </si>
  <si>
    <t>How I met your mother</t>
  </si>
  <si>
    <t>Em 2030, o arquiteto Ted Mosby (Josh Radnor) conta a história sobre como conheceu a mãe dos seus filhos. Ele volta no tempo para 2005, relembrando suas aventuras amorosas em Nova York e a busca pela mulher dos seus sonhos. Ao longo do anos, Ted aproveita para falar a jornada dos seus amigos: o advogado Marshall Eriksen (Jason Segel), a professora Lily Aldrin (Alyson Hannigan), a jornalista Robin Scherbatsky (Cobie Smulders) e o mulherengo convicto Barney Stinson (Neil Patrick Harris).</t>
  </si>
  <si>
    <t>The Big Bang Theory</t>
  </si>
  <si>
    <t>Leonard e Sheldon podem lhe dizer tudo o que você quiser saber sobre física quântica. Mas eles não seriam capazes de lhe dizer nada sobre a vida "real", as relações diárias ou humanas... Mas tudo vai mudar com a chegada da bela vizinha Penny, uma garçonete candidata a atriz que movimentará o grupo de amigos, que conta ainda com as presenças de Howard e Raj, um indiano que não consegue falar com mulheres.</t>
  </si>
  <si>
    <t>Friends</t>
  </si>
  <si>
    <t>Um grupo de 6 amigos estão sempre a se encontrar,\ncontando suas novidades do dia e tudo mais.\nApesar de todos serem adultos, não são nem um pouco maduros</t>
  </si>
  <si>
    <t>TEEN</t>
  </si>
  <si>
    <t>Gossip Girl</t>
  </si>
  <si>
    <t>Após passar um ano estudando fora por motivos misteriosos, Serena van der Woodsen (Blake Lively) está de volta em Nova York. Seu retorno agita o Upper East side, onde vivem os jovens mais privilegiados da cidade, como a sua melhor amiga, Blair Waldorf (Leighton Meester), o namorado de Blair, Nate Archibald (Chace Crawford), e ainda Chuck Bass (Ed Westwick). Enquanto lida com os problemas com a mãe, Lily van der Woodsen (Kelly Rutherford), e o irmão, Eric (Connor Paolo), Serena irá começar um relacionamento com Dan Humphrey (Penn Badgley), um garoto de um mundo completamente diferente.</t>
  </si>
  <si>
    <t>Pretty Little Liars</t>
  </si>
  <si>
    <t>Na pequena cidade de Rosewood, na Pensilvânia, as melhores amigas Spencer Hastings (Troian Bellisario), Aria Montgomery (Lucy Hale), Hanna Marin (Ashley Benson) e Emily Fields (Shay Mitchell) guardam complexos segredos. Alison (Sasha Pieterse), 5ª membra e líder do grupo, desapareceu há um ano e não deixou qualquer pista. As amigas recebem cartas misteriosas assinadas por uma letra e suspeitam que seja sua antiga companheira, mas a desconfiança que possuem em relação ao universo perverso no qual vivem provoca uma reflexão cada vez maior.</t>
  </si>
  <si>
    <t>Skins</t>
  </si>
  <si>
    <t>Skins foi ao ar entre 2007 e 2013 e se centra em um grupo de adolescentes britânicos que vivem em conflito com seus pais e professores, enquanto também tentam se entender entre si. A cada duas temporadas mudam os personagens e as histŕias de suas vidas; chamam esta troca de 'geracao'</t>
  </si>
  <si>
    <t>DRAMA</t>
  </si>
  <si>
    <t>Sense8</t>
  </si>
  <si>
    <t>Oito pessoas ao redor do mundo, com diferentes personalidades, pertencentes a diferentes culturas e modos de vida, se veem ligadas mentalmente. Onde passam a compartilhar entre si sensações, pensamentos, habilidades e experiências, de modo que desafia a razão e o conhecimento que temos da mente humana até o momento. </t>
  </si>
  <si>
    <t>13 Reasons Why</t>
  </si>
  <si>
    <t>Uma caixa de sapatos é enviada para Clay (Dylan Minnette) por Hannah (Katherine Langford), sua amiga e paixão platônica secreta de escola. O jovem se surpreende ao ver o remetente, pois Hannah acabara de se suicidar. Dentro da caixa, há várias fitas cassete, onde a jovem lista os 13 motivos que a levaram a interromper sua vida - além de instruções para elas serem passadas entre os demais envolvidos.</t>
  </si>
  <si>
    <t>The society</t>
  </si>
  <si>
    <t>Transportado misteriosamente para uma cidade paralela, muito parecida com a original onde moram, um grupo de adolescentes descobre que seus pais desapareceram sem deixar rastros. Agora, eles terão de lutar, se quiserem sobreviver.</t>
  </si>
  <si>
    <t>ANIME</t>
  </si>
  <si>
    <t>Death Note</t>
  </si>
  <si>
    <t>Na história, o "Death Note" é um caderno, normalmente de capa preta, e que tem seu nome escrito na parte frontal dele. Esse caderno tem a capacidade de matar qualquer pessoa apenas se os nomes destas pessoas forem escritos nele, enquanto o portador visualizar mentalmente o rosto de quem quer assassinar.</t>
  </si>
  <si>
    <t>Yu-Gi-Oh!</t>
  </si>
  <si>
    <t>O jovem estudante do ensino médio Yugi Muto derrota o campeão mundial, Seto Kaiba, em um duelo de cartas com a misteriosa ajuda do quebra-cabeça Millenium. Em razão de sua vitória inesperada, Yugi se torna famoso em todo o mundo e passa a participar de outros duelos para salvar os amigos e a família.</t>
  </si>
  <si>
    <t>Naruto</t>
  </si>
  <si>
    <t>Naruto é um jovem órfão habitante da Vila da Folha que sonha se tornar o quinto Hokage, o maior guerreiro e governante da vila. ... Seu pai, o quarto Hokage, aprisionou a raposa no próprio filho quando a raposa ameaçava destruir a Vila da Folha, sacrificando assim a própria vida.</t>
  </si>
  <si>
    <t>Gênero</t>
  </si>
  <si>
    <t>Hey</t>
  </si>
  <si>
    <t>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</si>
</sst>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16"/>
      <color theme="1"/>
      <name val="Calibri"/>
      <family val="2"/>
      <scheme val="minor"/>
    </font>
    <font>
      <sz val="20"/>
      <color theme="1"/>
      <name val="Calibri"/>
      <family val="2"/>
      <scheme val="minor"/>
    </font>
    <font>
      <sz val="10"/>
      <color theme="1"/>
      <name val="Calibri"/>
      <family val="2"/>
      <scheme val="minor"/>
    </font>
    <font>
      <sz val="12"/>
      <color theme="1"/>
      <name val="Calibri"/>
      <family val="2"/>
      <scheme val="minor"/>
    </font>
    <font>
      <sz val="11"/>
      <color theme="0"/>
      <name val="Calibri"/>
      <family val="2"/>
      <scheme val="minor"/>
    </font>
    <font>
      <sz val="11"/>
      <name val="Calibri"/>
      <family val="2"/>
      <scheme val="minor"/>
    </font>
    <font>
      <b/>
      <sz val="16"/>
      <color theme="0"/>
      <name val="Calibri"/>
      <family val="2"/>
      <scheme val="minor"/>
    </font>
    <font>
      <b/>
      <sz val="18"/>
      <color theme="0"/>
      <name val="Calibri"/>
      <family val="2"/>
      <scheme val="minor"/>
    </font>
    <font>
      <sz val="18"/>
      <color theme="0"/>
      <name val="Calibri"/>
      <family val="2"/>
      <scheme val="minor"/>
    </font>
    <font>
      <b/>
      <sz val="36"/>
      <color theme="0"/>
      <name val="Calibri"/>
      <family val="2"/>
      <scheme val="minor"/>
    </font>
    <font>
      <b/>
      <sz val="16"/>
      <color theme="0"/>
      <name val="Arial Black"/>
      <family val="2"/>
    </font>
    <font>
      <b/>
      <sz val="18"/>
      <color rgb="FF000000"/>
      <name val="Calibri"/>
      <family val="2"/>
    </font>
  </fonts>
  <fills count="7">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theme="6" tint="-0.249977111117893"/>
        <bgColor indexed="64"/>
      </patternFill>
    </fill>
    <fill>
      <patternFill patternType="solid">
        <fgColor theme="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s>
  <cellStyleXfs count="1">
    <xf numFmtId="0" fontId="0" fillId="0" borderId="0"/>
  </cellStyleXfs>
  <cellXfs count="40">
    <xf numFmtId="0" fontId="0" fillId="0" borderId="0" xfId="0"/>
    <xf numFmtId="0" fontId="0" fillId="0" borderId="0" xfId="0" applyAlignment="1"/>
    <xf numFmtId="0" fontId="0" fillId="0" borderId="1" xfId="0" applyBorder="1" applyAlignment="1">
      <alignment horizontal="center" vertical="center"/>
    </xf>
    <xf numFmtId="0" fontId="2" fillId="0" borderId="0" xfId="0" applyFont="1" applyBorder="1" applyAlignment="1">
      <alignment vertical="center"/>
    </xf>
    <xf numFmtId="0" fontId="1" fillId="0" borderId="1" xfId="0" applyFont="1" applyBorder="1" applyAlignment="1">
      <alignment horizontal="center" vertical="center"/>
    </xf>
    <xf numFmtId="0" fontId="4" fillId="0" borderId="1" xfId="0" applyFont="1" applyBorder="1" applyAlignment="1">
      <alignment horizontal="center" vertical="center"/>
    </xf>
    <xf numFmtId="0" fontId="3" fillId="0" borderId="1" xfId="0" applyFont="1" applyBorder="1" applyAlignment="1">
      <alignment horizontal="center" vertical="center" wrapText="1"/>
    </xf>
    <xf numFmtId="0" fontId="0" fillId="0" borderId="1" xfId="0" applyBorder="1" applyAlignment="1">
      <alignment horizontal="center" vertical="center" wrapText="1"/>
    </xf>
    <xf numFmtId="0" fontId="0" fillId="2" borderId="0" xfId="0" applyFill="1"/>
    <xf numFmtId="0" fontId="5" fillId="2" borderId="0" xfId="0" applyFont="1" applyFill="1"/>
    <xf numFmtId="0" fontId="5" fillId="2" borderId="0" xfId="0" applyFont="1" applyFill="1" applyAlignment="1">
      <alignment horizontal="center"/>
    </xf>
    <xf numFmtId="0" fontId="6" fillId="2" borderId="2" xfId="0" applyFont="1" applyFill="1" applyBorder="1"/>
    <xf numFmtId="0" fontId="6" fillId="2" borderId="3" xfId="0" applyFont="1" applyFill="1" applyBorder="1"/>
    <xf numFmtId="0" fontId="10" fillId="3" borderId="0" xfId="0" applyFont="1" applyFill="1" applyBorder="1" applyAlignment="1">
      <alignment horizontal="center" vertical="center"/>
    </xf>
    <xf numFmtId="0" fontId="8" fillId="6" borderId="12" xfId="0" applyFont="1" applyFill="1" applyBorder="1" applyAlignment="1">
      <alignment horizontal="center"/>
    </xf>
    <xf numFmtId="0" fontId="8" fillId="6" borderId="13" xfId="0" applyFont="1" applyFill="1" applyBorder="1" applyAlignment="1">
      <alignment horizontal="center"/>
    </xf>
    <xf numFmtId="0" fontId="8" fillId="6" borderId="14" xfId="0" applyFont="1" applyFill="1" applyBorder="1" applyAlignment="1">
      <alignment horizontal="center"/>
    </xf>
    <xf numFmtId="0" fontId="9" fillId="5" borderId="12" xfId="0" applyFont="1" applyFill="1" applyBorder="1" applyAlignment="1">
      <alignment horizontal="center"/>
    </xf>
    <xf numFmtId="0" fontId="9" fillId="5" borderId="13" xfId="0" applyFont="1" applyFill="1" applyBorder="1" applyAlignment="1">
      <alignment horizontal="center"/>
    </xf>
    <xf numFmtId="0" fontId="9" fillId="5" borderId="14" xfId="0" applyFont="1" applyFill="1" applyBorder="1" applyAlignment="1">
      <alignment horizontal="center"/>
    </xf>
    <xf numFmtId="0" fontId="8" fillId="4" borderId="12" xfId="0" applyFont="1" applyFill="1" applyBorder="1" applyAlignment="1">
      <alignment horizontal="center"/>
    </xf>
    <xf numFmtId="0" fontId="8" fillId="4" borderId="13" xfId="0" applyFont="1" applyFill="1" applyBorder="1" applyAlignment="1">
      <alignment horizontal="center"/>
    </xf>
    <xf numFmtId="0" fontId="8" fillId="4" borderId="14" xfId="0" applyFont="1" applyFill="1" applyBorder="1" applyAlignment="1">
      <alignment horizontal="center"/>
    </xf>
    <xf numFmtId="0" fontId="10" fillId="3" borderId="7" xfId="0" applyFont="1" applyFill="1" applyBorder="1" applyAlignment="1">
      <alignment horizontal="center" vertical="center"/>
    </xf>
    <xf numFmtId="0" fontId="10" fillId="3" borderId="8" xfId="0" applyFont="1" applyFill="1" applyBorder="1" applyAlignment="1">
      <alignment horizontal="center" vertical="center"/>
    </xf>
    <xf numFmtId="0" fontId="10" fillId="3" borderId="9" xfId="0" applyFont="1" applyFill="1" applyBorder="1" applyAlignment="1">
      <alignment horizontal="center" vertical="center"/>
    </xf>
    <xf numFmtId="0" fontId="10" fillId="3" borderId="10" xfId="0" applyFont="1" applyFill="1" applyBorder="1" applyAlignment="1">
      <alignment horizontal="center" vertical="center"/>
    </xf>
    <xf numFmtId="0" fontId="10" fillId="3" borderId="11" xfId="0" applyFont="1" applyFill="1" applyBorder="1" applyAlignment="1">
      <alignment horizontal="center" vertical="center"/>
    </xf>
    <xf numFmtId="0" fontId="7" fillId="6" borderId="12" xfId="0" applyFont="1" applyFill="1" applyBorder="1" applyAlignment="1">
      <alignment horizontal="center"/>
    </xf>
    <xf numFmtId="0" fontId="7" fillId="6" borderId="13" xfId="0" applyFont="1" applyFill="1" applyBorder="1" applyAlignment="1">
      <alignment horizontal="center"/>
    </xf>
    <xf numFmtId="0" fontId="7" fillId="6" borderId="14" xfId="0" applyFont="1" applyFill="1" applyBorder="1" applyAlignment="1">
      <alignment horizontal="center"/>
    </xf>
    <xf numFmtId="0" fontId="11" fillId="3" borderId="4" xfId="0" applyFont="1" applyFill="1" applyBorder="1" applyAlignment="1">
      <alignment horizontal="center" vertical="center" wrapText="1"/>
    </xf>
    <xf numFmtId="0" fontId="11" fillId="3" borderId="5" xfId="0" applyFont="1" applyFill="1" applyBorder="1" applyAlignment="1">
      <alignment horizontal="center" vertical="center" wrapTex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0"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11" fillId="3" borderId="10" xfId="0" applyFont="1" applyFill="1" applyBorder="1" applyAlignment="1">
      <alignment horizontal="center" vertical="center" wrapText="1"/>
    </xf>
    <xf numFmtId="0" fontId="11" fillId="3" borderId="11" xfId="0" applyFont="1" applyFill="1" applyBorder="1" applyAlignment="1">
      <alignment horizontal="center" vertical="center" wrapText="1"/>
    </xf>
  </cellXfs>
  <cellStyles count="1">
    <cellStyle name="Normal" xfId="0" builtinId="0"/>
  </cellStyles>
  <dxfs count="2">
    <dxf>
      <font>
        <color theme="0" tint="-0.34998626667073579"/>
      </font>
      <fill>
        <patternFill>
          <bgColor theme="0" tint="-0.34998626667073579"/>
        </patternFill>
      </fill>
    </dxf>
    <dxf>
      <font>
        <color theme="0" tint="-0.34998626667073579"/>
      </font>
      <fill>
        <patternFill>
          <bgColor theme="0"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609600</xdr:colOff>
          <xdr:row>0</xdr:row>
          <xdr:rowOff>78921</xdr:rowOff>
        </xdr:from>
        <xdr:to>
          <xdr:col>4</xdr:col>
          <xdr:colOff>476249</xdr:colOff>
          <xdr:row>2</xdr:row>
          <xdr:rowOff>115661</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800" b="1" i="0" u="none" strike="noStrike" baseline="0">
                  <a:solidFill>
                    <a:srgbClr val="000000"/>
                  </a:solidFill>
                  <a:latin typeface="Calibri"/>
                </a:rPr>
                <a:t>Cadastrar</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D2:N33"/>
  <sheetViews>
    <sheetView topLeftCell="B1" workbookViewId="0">
      <selection activeCell="D26" sqref="D26"/>
    </sheetView>
  </sheetViews>
  <sheetFormatPr defaultRowHeight="15" x14ac:dyDescent="0.25"/>
  <cols>
    <col min="4" max="4" width="20.140625" bestFit="1" customWidth="1"/>
    <col min="5" max="5" width="16.85546875" bestFit="1" customWidth="1"/>
    <col min="6" max="6" width="59.28515625" customWidth="1"/>
  </cols>
  <sheetData>
    <row r="2" spans="4:14" ht="14.45" customHeight="1" x14ac:dyDescent="0.25">
      <c r="D2" s="3"/>
      <c r="E2" s="3"/>
      <c r="F2" s="3"/>
      <c r="G2" s="3"/>
      <c r="H2" s="3"/>
      <c r="I2" s="3"/>
      <c r="J2" s="3"/>
      <c r="K2" s="3"/>
      <c r="L2" s="3"/>
      <c r="M2" s="3"/>
      <c r="N2" s="1"/>
    </row>
    <row r="3" spans="4:14" ht="14.45" customHeight="1" x14ac:dyDescent="0.25">
      <c r="D3" s="4" t="s">
        <v>3</v>
      </c>
      <c r="E3" s="4" t="s">
        <v>1</v>
      </c>
      <c r="F3" s="4" t="s">
        <v>2</v>
      </c>
      <c r="G3" s="3"/>
      <c r="H3" s="3"/>
      <c r="I3" s="3"/>
      <c r="J3" s="3"/>
      <c r="K3" s="3"/>
      <c r="L3" s="3"/>
      <c r="M3" s="3"/>
    </row>
    <row r="4" spans="4:14" ht="103.9" customHeight="1" x14ac:dyDescent="0.25">
      <c r="D4" s="5" t="s">
        <v>6</v>
      </c>
      <c r="E4" s="5" t="s">
        <v>0</v>
      </c>
      <c r="F4" s="6" t="s">
        <v>4</v>
      </c>
      <c r="G4" s="3"/>
      <c r="H4" s="3"/>
      <c r="I4" s="3"/>
      <c r="J4" s="3"/>
      <c r="K4" s="3"/>
      <c r="L4" s="3"/>
      <c r="M4" s="3"/>
    </row>
    <row r="5" spans="4:14" ht="180" x14ac:dyDescent="0.25">
      <c r="D5" s="5" t="s">
        <v>5</v>
      </c>
      <c r="E5" s="5" t="s">
        <v>0</v>
      </c>
      <c r="F5" s="7" t="s">
        <v>8</v>
      </c>
    </row>
    <row r="6" spans="4:14" ht="45" x14ac:dyDescent="0.25">
      <c r="D6" s="5" t="s">
        <v>7</v>
      </c>
      <c r="E6" s="5" t="s">
        <v>0</v>
      </c>
      <c r="F6" s="7" t="s">
        <v>9</v>
      </c>
    </row>
    <row r="7" spans="4:14" ht="75" x14ac:dyDescent="0.25">
      <c r="D7" s="2" t="s">
        <v>11</v>
      </c>
      <c r="E7" s="5" t="s">
        <v>10</v>
      </c>
      <c r="F7" s="7" t="s">
        <v>12</v>
      </c>
    </row>
    <row r="8" spans="4:14" ht="120" x14ac:dyDescent="0.25">
      <c r="D8" s="2" t="s">
        <v>13</v>
      </c>
      <c r="E8" s="5" t="s">
        <v>10</v>
      </c>
      <c r="F8" s="7" t="s">
        <v>14</v>
      </c>
    </row>
    <row r="9" spans="4:14" ht="45" x14ac:dyDescent="0.25">
      <c r="D9" s="2" t="s">
        <v>15</v>
      </c>
      <c r="E9" s="5" t="s">
        <v>10</v>
      </c>
      <c r="F9" s="7" t="s">
        <v>16</v>
      </c>
    </row>
    <row r="10" spans="4:14" ht="120" x14ac:dyDescent="0.25">
      <c r="D10" s="2" t="s">
        <v>18</v>
      </c>
      <c r="E10" s="2" t="s">
        <v>17</v>
      </c>
      <c r="F10" s="7" t="s">
        <v>19</v>
      </c>
    </row>
    <row r="11" spans="4:14" ht="90" x14ac:dyDescent="0.25">
      <c r="D11" s="2" t="s">
        <v>20</v>
      </c>
      <c r="E11" s="2" t="s">
        <v>17</v>
      </c>
      <c r="F11" s="7" t="s">
        <v>21</v>
      </c>
    </row>
    <row r="12" spans="4:14" ht="45" x14ac:dyDescent="0.25">
      <c r="D12" s="2" t="s">
        <v>22</v>
      </c>
      <c r="E12" s="2" t="s">
        <v>17</v>
      </c>
      <c r="F12" s="7" t="s">
        <v>23</v>
      </c>
    </row>
    <row r="13" spans="4:14" ht="150" x14ac:dyDescent="0.25">
      <c r="D13" s="2" t="s">
        <v>25</v>
      </c>
      <c r="E13" s="2" t="s">
        <v>24</v>
      </c>
      <c r="F13" s="7" t="s">
        <v>26</v>
      </c>
    </row>
    <row r="14" spans="4:14" ht="135" x14ac:dyDescent="0.25">
      <c r="D14" s="2" t="s">
        <v>27</v>
      </c>
      <c r="E14" s="2" t="s">
        <v>24</v>
      </c>
      <c r="F14" s="7" t="s">
        <v>28</v>
      </c>
    </row>
    <row r="15" spans="4:14" ht="135" x14ac:dyDescent="0.25">
      <c r="D15" s="2" t="s">
        <v>29</v>
      </c>
      <c r="E15" s="2" t="s">
        <v>24</v>
      </c>
      <c r="F15" s="7" t="s">
        <v>30</v>
      </c>
    </row>
    <row r="16" spans="4:14" ht="105" x14ac:dyDescent="0.25">
      <c r="D16" s="2" t="s">
        <v>32</v>
      </c>
      <c r="E16" s="2" t="s">
        <v>31</v>
      </c>
      <c r="F16" s="7" t="s">
        <v>33</v>
      </c>
    </row>
    <row r="17" spans="4:6" ht="45" x14ac:dyDescent="0.25">
      <c r="D17" s="2" t="s">
        <v>34</v>
      </c>
      <c r="E17" s="2" t="s">
        <v>31</v>
      </c>
      <c r="F17" s="7" t="s">
        <v>35</v>
      </c>
    </row>
    <row r="18" spans="4:6" ht="75" x14ac:dyDescent="0.25">
      <c r="D18" s="2" t="s">
        <v>36</v>
      </c>
      <c r="E18" s="2" t="s">
        <v>31</v>
      </c>
      <c r="F18" s="7" t="s">
        <v>37</v>
      </c>
    </row>
    <row r="19" spans="4:6" ht="135" x14ac:dyDescent="0.25">
      <c r="D19" s="2" t="s">
        <v>39</v>
      </c>
      <c r="E19" s="2" t="s">
        <v>38</v>
      </c>
      <c r="F19" s="7" t="s">
        <v>40</v>
      </c>
    </row>
    <row r="20" spans="4:6" ht="90" x14ac:dyDescent="0.25">
      <c r="D20" s="2" t="s">
        <v>41</v>
      </c>
      <c r="E20" s="2" t="s">
        <v>38</v>
      </c>
      <c r="F20" s="7" t="s">
        <v>42</v>
      </c>
    </row>
    <row r="21" spans="4:6" ht="75" x14ac:dyDescent="0.25">
      <c r="D21" s="2" t="s">
        <v>43</v>
      </c>
      <c r="E21" s="2" t="s">
        <v>38</v>
      </c>
      <c r="F21" s="7" t="s">
        <v>44</v>
      </c>
    </row>
    <row r="22" spans="4:6" ht="120" x14ac:dyDescent="0.25">
      <c r="D22" s="2" t="s">
        <v>46</v>
      </c>
      <c r="E22" s="2" t="s">
        <v>45</v>
      </c>
      <c r="F22" s="7" t="s">
        <v>47</v>
      </c>
    </row>
    <row r="23" spans="4:6" ht="105" x14ac:dyDescent="0.25">
      <c r="D23" s="2" t="s">
        <v>48</v>
      </c>
      <c r="E23" s="2" t="s">
        <v>45</v>
      </c>
      <c r="F23" s="7" t="s">
        <v>49</v>
      </c>
    </row>
    <row r="24" spans="4:6" ht="45" x14ac:dyDescent="0.25">
      <c r="D24" s="2" t="s">
        <v>50</v>
      </c>
      <c r="E24" s="2" t="s">
        <v>45</v>
      </c>
      <c r="F24" s="7" t="s">
        <v>51</v>
      </c>
    </row>
    <row r="25" spans="4:6" ht="165" x14ac:dyDescent="0.25">
      <c r="D25" s="2" t="s">
        <v>53</v>
      </c>
      <c r="E25" s="2" t="s">
        <v>52</v>
      </c>
      <c r="F25" s="7" t="s">
        <v>54</v>
      </c>
    </row>
    <row r="26" spans="4:6" ht="150" x14ac:dyDescent="0.25">
      <c r="D26" s="2" t="s">
        <v>55</v>
      </c>
      <c r="E26" s="2" t="s">
        <v>52</v>
      </c>
      <c r="F26" s="7" t="s">
        <v>56</v>
      </c>
    </row>
    <row r="27" spans="4:6" ht="75" x14ac:dyDescent="0.25">
      <c r="D27" s="2" t="s">
        <v>57</v>
      </c>
      <c r="E27" s="2" t="s">
        <v>52</v>
      </c>
      <c r="F27" s="7" t="s">
        <v>58</v>
      </c>
    </row>
    <row r="28" spans="4:6" ht="90" x14ac:dyDescent="0.25">
      <c r="D28" s="2" t="s">
        <v>60</v>
      </c>
      <c r="E28" s="2" t="s">
        <v>59</v>
      </c>
      <c r="F28" s="7" t="s">
        <v>61</v>
      </c>
    </row>
    <row r="29" spans="4:6" ht="105" x14ac:dyDescent="0.25">
      <c r="D29" s="2" t="s">
        <v>62</v>
      </c>
      <c r="E29" s="2" t="s">
        <v>59</v>
      </c>
      <c r="F29" s="7" t="s">
        <v>63</v>
      </c>
    </row>
    <row r="30" spans="4:6" ht="60" x14ac:dyDescent="0.25">
      <c r="D30" s="2" t="s">
        <v>64</v>
      </c>
      <c r="E30" s="2" t="s">
        <v>59</v>
      </c>
      <c r="F30" s="7" t="s">
        <v>65</v>
      </c>
    </row>
    <row r="31" spans="4:6" ht="90" x14ac:dyDescent="0.25">
      <c r="D31" s="2" t="s">
        <v>67</v>
      </c>
      <c r="E31" s="2" t="s">
        <v>66</v>
      </c>
      <c r="F31" s="7" t="s">
        <v>68</v>
      </c>
    </row>
    <row r="32" spans="4:6" ht="90" x14ac:dyDescent="0.25">
      <c r="D32" s="2" t="s">
        <v>69</v>
      </c>
      <c r="E32" s="2" t="s">
        <v>66</v>
      </c>
      <c r="F32" s="7" t="s">
        <v>70</v>
      </c>
    </row>
    <row r="33" spans="4:6" ht="75" x14ac:dyDescent="0.25">
      <c r="D33" s="2" t="s">
        <v>71</v>
      </c>
      <c r="E33" s="2" t="s">
        <v>66</v>
      </c>
      <c r="F33" s="7" t="s">
        <v>72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C4:U29"/>
  <sheetViews>
    <sheetView tabSelected="1" view="pageBreakPreview" zoomScale="70" zoomScaleNormal="100" zoomScaleSheetLayoutView="70" workbookViewId="0">
      <selection activeCell="T11" sqref="T11"/>
    </sheetView>
  </sheetViews>
  <sheetFormatPr defaultRowHeight="15" x14ac:dyDescent="0.25"/>
  <sheetData>
    <row r="4" spans="3:21" ht="15.75" thickBot="1" x14ac:dyDescent="0.3">
      <c r="C4" s="9"/>
      <c r="D4" s="9"/>
      <c r="E4" s="9"/>
      <c r="F4" s="9"/>
      <c r="G4" s="9"/>
      <c r="H4" s="9"/>
      <c r="I4" s="9"/>
      <c r="J4" s="9"/>
      <c r="K4" s="9"/>
      <c r="L4" s="8"/>
      <c r="M4" s="8"/>
      <c r="N4" s="8"/>
      <c r="O4" s="8"/>
      <c r="P4" s="8"/>
      <c r="Q4" s="8"/>
      <c r="R4" s="8"/>
      <c r="S4" s="8"/>
      <c r="T4" s="8"/>
      <c r="U4" s="8"/>
    </row>
    <row r="5" spans="3:21" ht="22.5" thickTop="1" thickBot="1" x14ac:dyDescent="0.4">
      <c r="C5" s="9"/>
      <c r="D5" s="28" t="str">
        <f>IF(E6&lt;&gt;"","A serie escolhida foi","Nos informe sua série, estamos aqui para te ajudar!")</f>
        <v>A serie escolhida foi</v>
      </c>
      <c r="E5" s="29"/>
      <c r="F5" s="29"/>
      <c r="G5" s="29"/>
      <c r="H5" s="29"/>
      <c r="I5" s="29"/>
      <c r="J5" s="29"/>
      <c r="K5" s="29"/>
      <c r="L5" s="29"/>
      <c r="M5" s="29"/>
      <c r="N5" s="29"/>
      <c r="O5" s="29"/>
      <c r="P5" s="29"/>
      <c r="Q5" s="29"/>
      <c r="R5" s="29"/>
      <c r="S5" s="29"/>
      <c r="T5" s="30"/>
      <c r="U5" s="8"/>
    </row>
    <row r="6" spans="3:21" ht="15" customHeight="1" thickTop="1" x14ac:dyDescent="0.25">
      <c r="C6" s="9"/>
      <c r="D6" s="11" t="s">
        <v>74</v>
      </c>
      <c r="E6" s="23" t="s">
        <v>71</v>
      </c>
      <c r="F6" s="13"/>
      <c r="G6" s="13"/>
      <c r="H6" s="13"/>
      <c r="I6" s="13"/>
      <c r="J6" s="13"/>
      <c r="K6" s="13"/>
      <c r="L6" s="13"/>
      <c r="M6" s="13"/>
      <c r="N6" s="13"/>
      <c r="O6" s="13"/>
      <c r="P6" s="13"/>
      <c r="Q6" s="13"/>
      <c r="R6" s="13"/>
      <c r="S6" s="24"/>
      <c r="T6" s="8"/>
      <c r="U6" s="8"/>
    </row>
    <row r="7" spans="3:21" ht="15" customHeight="1" x14ac:dyDescent="0.25">
      <c r="C7" s="9"/>
      <c r="D7" s="11"/>
      <c r="E7" s="23"/>
      <c r="F7" s="13"/>
      <c r="G7" s="13"/>
      <c r="H7" s="13"/>
      <c r="I7" s="13"/>
      <c r="J7" s="13"/>
      <c r="K7" s="13"/>
      <c r="L7" s="13"/>
      <c r="M7" s="13"/>
      <c r="N7" s="13"/>
      <c r="O7" s="13"/>
      <c r="P7" s="13"/>
      <c r="Q7" s="13"/>
      <c r="R7" s="13"/>
      <c r="S7" s="24"/>
      <c r="T7" s="8"/>
      <c r="U7" s="8"/>
    </row>
    <row r="8" spans="3:21" ht="15.75" customHeight="1" thickBot="1" x14ac:dyDescent="0.3">
      <c r="C8" s="9"/>
      <c r="D8" s="12"/>
      <c r="E8" s="25"/>
      <c r="F8" s="26"/>
      <c r="G8" s="26"/>
      <c r="H8" s="26"/>
      <c r="I8" s="26"/>
      <c r="J8" s="26"/>
      <c r="K8" s="26"/>
      <c r="L8" s="26"/>
      <c r="M8" s="26"/>
      <c r="N8" s="26"/>
      <c r="O8" s="26"/>
      <c r="P8" s="26"/>
      <c r="Q8" s="26"/>
      <c r="R8" s="26"/>
      <c r="S8" s="27"/>
      <c r="T8" s="8"/>
      <c r="U8" s="8"/>
    </row>
    <row r="9" spans="3:21" ht="15.75" thickBot="1" x14ac:dyDescent="0.3">
      <c r="C9" s="9"/>
      <c r="D9" s="9"/>
      <c r="E9" s="9"/>
      <c r="F9" s="9"/>
      <c r="G9" s="9"/>
      <c r="H9" s="9"/>
      <c r="I9" s="9"/>
      <c r="J9" s="9"/>
      <c r="K9" s="9"/>
      <c r="L9" s="8"/>
      <c r="M9" s="8"/>
      <c r="N9" s="8"/>
      <c r="O9" s="8"/>
      <c r="P9" s="8"/>
      <c r="Q9" s="8"/>
      <c r="R9" s="8"/>
      <c r="S9" s="8"/>
      <c r="T9" s="8"/>
      <c r="U9" s="8"/>
    </row>
    <row r="10" spans="3:21" ht="24.75" thickTop="1" thickBot="1" x14ac:dyDescent="0.4">
      <c r="C10" s="9"/>
      <c r="D10" s="9"/>
      <c r="E10" s="9"/>
      <c r="F10" s="8"/>
      <c r="G10" s="20" t="s">
        <v>73</v>
      </c>
      <c r="H10" s="21"/>
      <c r="I10" s="21"/>
      <c r="J10" s="21"/>
      <c r="K10" s="21"/>
      <c r="L10" s="21"/>
      <c r="M10" s="21"/>
      <c r="N10" s="21"/>
      <c r="O10" s="21"/>
      <c r="P10" s="21"/>
      <c r="Q10" s="22"/>
      <c r="R10" s="8" t="s">
        <v>75</v>
      </c>
      <c r="S10" s="8"/>
      <c r="T10" s="8"/>
      <c r="U10" s="8"/>
    </row>
    <row r="11" spans="3:21" ht="24.75" thickTop="1" thickBot="1" x14ac:dyDescent="0.4">
      <c r="C11" s="9"/>
      <c r="D11" s="9"/>
      <c r="E11" s="9"/>
      <c r="F11" s="8"/>
      <c r="G11" s="17" t="str">
        <f>VLOOKUP($E$6,Planilha1!$D$4:$F$33,2,)</f>
        <v>ANIME</v>
      </c>
      <c r="H11" s="18"/>
      <c r="I11" s="18"/>
      <c r="J11" s="18"/>
      <c r="K11" s="18"/>
      <c r="L11" s="18"/>
      <c r="M11" s="18"/>
      <c r="N11" s="18"/>
      <c r="O11" s="18"/>
      <c r="P11" s="18"/>
      <c r="Q11" s="19"/>
      <c r="R11" s="8"/>
      <c r="S11" s="8"/>
      <c r="T11" s="8"/>
      <c r="U11" s="8"/>
    </row>
    <row r="12" spans="3:21" ht="16.5" thickTop="1" thickBot="1" x14ac:dyDescent="0.3">
      <c r="C12" s="9"/>
      <c r="D12" s="9"/>
      <c r="E12" s="9"/>
      <c r="F12" s="10"/>
      <c r="G12" s="10"/>
      <c r="H12" s="10"/>
      <c r="I12" s="9"/>
      <c r="J12" s="9"/>
      <c r="K12" s="9"/>
      <c r="L12" s="8"/>
      <c r="M12" s="8"/>
      <c r="N12" s="8"/>
      <c r="O12" s="8"/>
      <c r="P12" s="8"/>
      <c r="Q12" s="8"/>
      <c r="R12" s="8"/>
      <c r="S12" s="8"/>
      <c r="T12" s="8"/>
      <c r="U12" s="8"/>
    </row>
    <row r="13" spans="3:21" ht="24.75" thickTop="1" thickBot="1" x14ac:dyDescent="0.4">
      <c r="C13" s="9"/>
      <c r="D13" s="9"/>
      <c r="E13" s="9"/>
      <c r="F13" s="14" t="s">
        <v>2</v>
      </c>
      <c r="G13" s="15"/>
      <c r="H13" s="15"/>
      <c r="I13" s="15"/>
      <c r="J13" s="15"/>
      <c r="K13" s="15"/>
      <c r="L13" s="15"/>
      <c r="M13" s="15"/>
      <c r="N13" s="15"/>
      <c r="O13" s="15"/>
      <c r="P13" s="15"/>
      <c r="Q13" s="15"/>
      <c r="R13" s="16"/>
      <c r="S13" s="8"/>
      <c r="T13" s="8"/>
      <c r="U13" s="8"/>
    </row>
    <row r="14" spans="3:21" ht="16.5" thickTop="1" thickBot="1" x14ac:dyDescent="0.3">
      <c r="C14" s="9"/>
      <c r="D14" s="9"/>
      <c r="E14" s="9"/>
      <c r="F14" s="9"/>
      <c r="G14" s="9"/>
      <c r="H14" s="9"/>
      <c r="I14" s="9"/>
      <c r="J14" s="9"/>
      <c r="K14" s="9"/>
      <c r="L14" s="8"/>
      <c r="M14" s="8"/>
      <c r="N14" s="8"/>
      <c r="O14" s="8"/>
      <c r="P14" s="8"/>
      <c r="Q14" s="8"/>
      <c r="R14" s="8"/>
      <c r="S14" s="8"/>
      <c r="T14" s="8"/>
      <c r="U14" s="8"/>
    </row>
    <row r="15" spans="3:21" ht="15" customHeight="1" thickTop="1" x14ac:dyDescent="0.25">
      <c r="C15" s="9"/>
      <c r="D15" s="31" t="str">
        <f>VLOOKUP($E$6,Planilha1!$D$4:$F$33,3,)</f>
        <v>Naruto é um jovem órfão habitante da Vila da Folha que sonha se tornar o quinto Hokage, o maior guerreiro e governante da vila. ... Seu pai, o quarto Hokage, aprisionou a raposa no próprio filho quando a raposa ameaçava destruir a Vila da Folha, sacrificando assim a própria vida.</v>
      </c>
      <c r="E15" s="32"/>
      <c r="F15" s="32"/>
      <c r="G15" s="32"/>
      <c r="H15" s="32"/>
      <c r="I15" s="32"/>
      <c r="J15" s="32"/>
      <c r="K15" s="32"/>
      <c r="L15" s="32"/>
      <c r="M15" s="32"/>
      <c r="N15" s="32"/>
      <c r="O15" s="32"/>
      <c r="P15" s="32"/>
      <c r="Q15" s="32"/>
      <c r="R15" s="32"/>
      <c r="S15" s="32"/>
      <c r="T15" s="33"/>
      <c r="U15" s="8"/>
    </row>
    <row r="16" spans="3:21" ht="15" customHeight="1" x14ac:dyDescent="0.25">
      <c r="C16" s="9"/>
      <c r="D16" s="34"/>
      <c r="E16" s="35"/>
      <c r="F16" s="35"/>
      <c r="G16" s="35"/>
      <c r="H16" s="35"/>
      <c r="I16" s="35"/>
      <c r="J16" s="35"/>
      <c r="K16" s="35"/>
      <c r="L16" s="35"/>
      <c r="M16" s="35"/>
      <c r="N16" s="35"/>
      <c r="O16" s="35"/>
      <c r="P16" s="35"/>
      <c r="Q16" s="35"/>
      <c r="R16" s="35"/>
      <c r="S16" s="35"/>
      <c r="T16" s="36"/>
      <c r="U16" s="8"/>
    </row>
    <row r="17" spans="3:21" ht="15" customHeight="1" x14ac:dyDescent="0.25">
      <c r="C17" s="9"/>
      <c r="D17" s="34"/>
      <c r="E17" s="35"/>
      <c r="F17" s="35"/>
      <c r="G17" s="35"/>
      <c r="H17" s="35"/>
      <c r="I17" s="35"/>
      <c r="J17" s="35"/>
      <c r="K17" s="35"/>
      <c r="L17" s="35"/>
      <c r="M17" s="35"/>
      <c r="N17" s="35"/>
      <c r="O17" s="35"/>
      <c r="P17" s="35"/>
      <c r="Q17" s="35"/>
      <c r="R17" s="35"/>
      <c r="S17" s="35"/>
      <c r="T17" s="36"/>
      <c r="U17" s="8"/>
    </row>
    <row r="18" spans="3:21" ht="15" customHeight="1" x14ac:dyDescent="0.25">
      <c r="C18" s="9"/>
      <c r="D18" s="34"/>
      <c r="E18" s="35"/>
      <c r="F18" s="35"/>
      <c r="G18" s="35"/>
      <c r="H18" s="35"/>
      <c r="I18" s="35"/>
      <c r="J18" s="35"/>
      <c r="K18" s="35"/>
      <c r="L18" s="35"/>
      <c r="M18" s="35"/>
      <c r="N18" s="35"/>
      <c r="O18" s="35"/>
      <c r="P18" s="35"/>
      <c r="Q18" s="35"/>
      <c r="R18" s="35"/>
      <c r="S18" s="35"/>
      <c r="T18" s="36"/>
      <c r="U18" s="8"/>
    </row>
    <row r="19" spans="3:21" ht="15" customHeight="1" x14ac:dyDescent="0.25">
      <c r="C19" s="9"/>
      <c r="D19" s="34"/>
      <c r="E19" s="35"/>
      <c r="F19" s="35"/>
      <c r="G19" s="35"/>
      <c r="H19" s="35"/>
      <c r="I19" s="35"/>
      <c r="J19" s="35"/>
      <c r="K19" s="35"/>
      <c r="L19" s="35"/>
      <c r="M19" s="35"/>
      <c r="N19" s="35"/>
      <c r="O19" s="35"/>
      <c r="P19" s="35"/>
      <c r="Q19" s="35"/>
      <c r="R19" s="35"/>
      <c r="S19" s="35"/>
      <c r="T19" s="36"/>
      <c r="U19" s="8"/>
    </row>
    <row r="20" spans="3:21" ht="15" customHeight="1" x14ac:dyDescent="0.25">
      <c r="C20" s="9"/>
      <c r="D20" s="34"/>
      <c r="E20" s="35"/>
      <c r="F20" s="35"/>
      <c r="G20" s="35"/>
      <c r="H20" s="35"/>
      <c r="I20" s="35"/>
      <c r="J20" s="35"/>
      <c r="K20" s="35"/>
      <c r="L20" s="35"/>
      <c r="M20" s="35"/>
      <c r="N20" s="35"/>
      <c r="O20" s="35"/>
      <c r="P20" s="35"/>
      <c r="Q20" s="35"/>
      <c r="R20" s="35"/>
      <c r="S20" s="35"/>
      <c r="T20" s="36"/>
      <c r="U20" s="8"/>
    </row>
    <row r="21" spans="3:21" ht="15" customHeight="1" x14ac:dyDescent="0.25">
      <c r="C21" s="9"/>
      <c r="D21" s="34"/>
      <c r="E21" s="35"/>
      <c r="F21" s="35"/>
      <c r="G21" s="35"/>
      <c r="H21" s="35"/>
      <c r="I21" s="35"/>
      <c r="J21" s="35"/>
      <c r="K21" s="35"/>
      <c r="L21" s="35"/>
      <c r="M21" s="35"/>
      <c r="N21" s="35"/>
      <c r="O21" s="35"/>
      <c r="P21" s="35"/>
      <c r="Q21" s="35"/>
      <c r="R21" s="35"/>
      <c r="S21" s="35"/>
      <c r="T21" s="36"/>
      <c r="U21" s="8"/>
    </row>
    <row r="22" spans="3:21" ht="15" customHeight="1" x14ac:dyDescent="0.25">
      <c r="C22" s="9"/>
      <c r="D22" s="34"/>
      <c r="E22" s="35"/>
      <c r="F22" s="35"/>
      <c r="G22" s="35"/>
      <c r="H22" s="35"/>
      <c r="I22" s="35"/>
      <c r="J22" s="35"/>
      <c r="K22" s="35"/>
      <c r="L22" s="35"/>
      <c r="M22" s="35"/>
      <c r="N22" s="35"/>
      <c r="O22" s="35"/>
      <c r="P22" s="35"/>
      <c r="Q22" s="35"/>
      <c r="R22" s="35"/>
      <c r="S22" s="35"/>
      <c r="T22" s="36"/>
      <c r="U22" s="8"/>
    </row>
    <row r="23" spans="3:21" ht="15" customHeight="1" x14ac:dyDescent="0.25">
      <c r="C23" s="9"/>
      <c r="D23" s="34"/>
      <c r="E23" s="35"/>
      <c r="F23" s="35"/>
      <c r="G23" s="35"/>
      <c r="H23" s="35"/>
      <c r="I23" s="35"/>
      <c r="J23" s="35"/>
      <c r="K23" s="35"/>
      <c r="L23" s="35"/>
      <c r="M23" s="35"/>
      <c r="N23" s="35"/>
      <c r="O23" s="35"/>
      <c r="P23" s="35"/>
      <c r="Q23" s="35"/>
      <c r="R23" s="35"/>
      <c r="S23" s="35"/>
      <c r="T23" s="36"/>
      <c r="U23" s="8"/>
    </row>
    <row r="24" spans="3:21" ht="15" customHeight="1" x14ac:dyDescent="0.25">
      <c r="C24" s="9"/>
      <c r="D24" s="34"/>
      <c r="E24" s="35"/>
      <c r="F24" s="35"/>
      <c r="G24" s="35"/>
      <c r="H24" s="35"/>
      <c r="I24" s="35"/>
      <c r="J24" s="35"/>
      <c r="K24" s="35"/>
      <c r="L24" s="35"/>
      <c r="M24" s="35"/>
      <c r="N24" s="35"/>
      <c r="O24" s="35"/>
      <c r="P24" s="35"/>
      <c r="Q24" s="35"/>
      <c r="R24" s="35"/>
      <c r="S24" s="35"/>
      <c r="T24" s="36"/>
      <c r="U24" s="8"/>
    </row>
    <row r="25" spans="3:21" ht="15" customHeight="1" x14ac:dyDescent="0.25">
      <c r="C25" s="9"/>
      <c r="D25" s="34"/>
      <c r="E25" s="35"/>
      <c r="F25" s="35"/>
      <c r="G25" s="35"/>
      <c r="H25" s="35"/>
      <c r="I25" s="35"/>
      <c r="J25" s="35"/>
      <c r="K25" s="35"/>
      <c r="L25" s="35"/>
      <c r="M25" s="35"/>
      <c r="N25" s="35"/>
      <c r="O25" s="35"/>
      <c r="P25" s="35"/>
      <c r="Q25" s="35"/>
      <c r="R25" s="35"/>
      <c r="S25" s="35"/>
      <c r="T25" s="36"/>
      <c r="U25" s="8"/>
    </row>
    <row r="26" spans="3:21" ht="15" customHeight="1" x14ac:dyDescent="0.25">
      <c r="C26" s="9"/>
      <c r="D26" s="34"/>
      <c r="E26" s="35"/>
      <c r="F26" s="35"/>
      <c r="G26" s="35"/>
      <c r="H26" s="35"/>
      <c r="I26" s="35"/>
      <c r="J26" s="35"/>
      <c r="K26" s="35"/>
      <c r="L26" s="35"/>
      <c r="M26" s="35"/>
      <c r="N26" s="35"/>
      <c r="O26" s="35"/>
      <c r="P26" s="35"/>
      <c r="Q26" s="35"/>
      <c r="R26" s="35"/>
      <c r="S26" s="35"/>
      <c r="T26" s="36"/>
      <c r="U26" s="8"/>
    </row>
    <row r="27" spans="3:21" ht="15" customHeight="1" x14ac:dyDescent="0.25">
      <c r="C27" s="9"/>
      <c r="D27" s="34"/>
      <c r="E27" s="35"/>
      <c r="F27" s="35"/>
      <c r="G27" s="35"/>
      <c r="H27" s="35"/>
      <c r="I27" s="35"/>
      <c r="J27" s="35"/>
      <c r="K27" s="35"/>
      <c r="L27" s="35"/>
      <c r="M27" s="35"/>
      <c r="N27" s="35"/>
      <c r="O27" s="35"/>
      <c r="P27" s="35"/>
      <c r="Q27" s="35"/>
      <c r="R27" s="35"/>
      <c r="S27" s="35"/>
      <c r="T27" s="36"/>
      <c r="U27" s="8"/>
    </row>
    <row r="28" spans="3:21" ht="15" customHeight="1" thickBot="1" x14ac:dyDescent="0.3">
      <c r="C28" s="9"/>
      <c r="D28" s="37"/>
      <c r="E28" s="38"/>
      <c r="F28" s="38"/>
      <c r="G28" s="38"/>
      <c r="H28" s="38"/>
      <c r="I28" s="38"/>
      <c r="J28" s="38"/>
      <c r="K28" s="38"/>
      <c r="L28" s="38"/>
      <c r="M28" s="38"/>
      <c r="N28" s="38"/>
      <c r="O28" s="38"/>
      <c r="P28" s="38"/>
      <c r="Q28" s="38"/>
      <c r="R28" s="38"/>
      <c r="S28" s="38"/>
      <c r="T28" s="39"/>
      <c r="U28" s="8"/>
    </row>
    <row r="29" spans="3:21" ht="15.75" thickTop="1" x14ac:dyDescent="0.25">
      <c r="C29" s="8"/>
      <c r="D29" s="8"/>
      <c r="E29" s="8"/>
      <c r="F29" s="8"/>
      <c r="G29" s="8"/>
      <c r="H29" s="8"/>
      <c r="I29" s="8"/>
      <c r="J29" s="8"/>
      <c r="K29" s="8"/>
      <c r="L29" s="8"/>
      <c r="M29" s="8"/>
      <c r="N29" s="8"/>
      <c r="O29" s="8"/>
      <c r="P29" s="8"/>
      <c r="Q29" s="8"/>
      <c r="R29" s="8"/>
      <c r="S29" s="8"/>
      <c r="T29" s="8"/>
      <c r="U29" s="8"/>
    </row>
  </sheetData>
  <mergeCells count="6">
    <mergeCell ref="F13:R13"/>
    <mergeCell ref="G10:Q10"/>
    <mergeCell ref="G11:Q11"/>
    <mergeCell ref="D5:T5"/>
    <mergeCell ref="E6:S8"/>
    <mergeCell ref="D15:T28"/>
  </mergeCells>
  <conditionalFormatting sqref="D15:T28">
    <cfRule type="containsErrors" dxfId="1" priority="2">
      <formula>ISERROR(D15)</formula>
    </cfRule>
  </conditionalFormatting>
  <conditionalFormatting sqref="G11:Q11">
    <cfRule type="containsErrors" dxfId="0" priority="1">
      <formula>ISERROR(G11)</formula>
    </cfRule>
  </conditionalFormatting>
  <pageMargins left="0.51181102362204722" right="0.51181102362204722" top="0.78740157480314965" bottom="0.78740157480314965" header="0.31496062992125984" footer="0.31496062992125984"/>
  <pageSetup paperSize="9" scale="5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ão1_Clique">
                <anchor moveWithCells="1" sizeWithCells="1">
                  <from>
                    <xdr:col>1</xdr:col>
                    <xdr:colOff>609600</xdr:colOff>
                    <xdr:row>0</xdr:row>
                    <xdr:rowOff>76200</xdr:rowOff>
                  </from>
                  <to>
                    <xdr:col>4</xdr:col>
                    <xdr:colOff>476250</xdr:colOff>
                    <xdr:row>2</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1</vt:i4>
      </vt:variant>
    </vt:vector>
  </HeadingPairs>
  <TitlesOfParts>
    <vt:vector size="3" baseType="lpstr">
      <vt:lpstr>Planilha1</vt:lpstr>
      <vt:lpstr>Hey</vt:lpstr>
      <vt:lpstr>Hey!Area_de_impressao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vitor daniel</dc:creator>
  <cp:lastModifiedBy>Jeferson Constantino</cp:lastModifiedBy>
  <cp:lastPrinted>2019-09-20T04:16:07Z</cp:lastPrinted>
  <dcterms:created xsi:type="dcterms:W3CDTF">2019-09-20T00:49:45Z</dcterms:created>
  <dcterms:modified xsi:type="dcterms:W3CDTF">2019-09-20T04:35:27Z</dcterms:modified>
</cp:coreProperties>
</file>